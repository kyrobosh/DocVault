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Estimate"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family val="2"/>
      <color theme="1"/>
      <sz val="11"/>
      <scheme val="minor"/>
    </font>
    <font>
      <name val="Arial"/>
      <b val="1"/>
      <color rgb="00FFFFFF"/>
      <sz val="18"/>
    </font>
    <font>
      <name val="Arial"/>
      <b val="1"/>
      <color rgb="001C2B3A"/>
      <sz val="10"/>
    </font>
    <font>
      <name val="Arial"/>
      <b val="1"/>
      <color rgb="00FFFFFF"/>
      <sz val="11"/>
    </font>
    <font>
      <name val="Arial"/>
      <color rgb="001C2B3A"/>
      <sz val="10"/>
    </font>
    <font>
      <name val="Arial"/>
      <color rgb="000000FF"/>
      <sz val="9"/>
    </font>
    <font>
      <name val="Arial"/>
      <b val="1"/>
      <color rgb="00FFFFFF"/>
      <sz val="12"/>
    </font>
    <font>
      <name val="Arial"/>
      <color rgb="001C2B3A"/>
      <sz val="9"/>
    </font>
    <font>
      <name val="Arial"/>
      <b val="1"/>
      <color rgb="00FFFFFF"/>
      <sz val="16"/>
    </font>
    <font>
      <name val="Arial"/>
      <sz val="10"/>
    </font>
    <font>
      <name val="Arial"/>
      <b val="1"/>
      <sz val="10"/>
    </font>
  </fonts>
  <fills count="6">
    <fill>
      <patternFill/>
    </fill>
    <fill>
      <patternFill patternType="gray125"/>
    </fill>
    <fill>
      <patternFill patternType="solid">
        <fgColor rgb="001C2B3A"/>
      </patternFill>
    </fill>
    <fill>
      <patternFill patternType="solid">
        <fgColor rgb="00F5F5F5"/>
      </patternFill>
    </fill>
    <fill>
      <patternFill patternType="solid">
        <fgColor rgb="00C8923A"/>
      </patternFill>
    </fill>
    <fill>
      <patternFill patternType="solid">
        <fgColor rgb="00FFF3E0"/>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style="thin">
        <color rgb="001C2B3A"/>
      </left>
      <right style="thin">
        <color rgb="001C2B3A"/>
      </right>
      <top style="thin">
        <color rgb="001C2B3A"/>
      </top>
      <bottom style="thin">
        <color rgb="001C2B3A"/>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0" fillId="3" borderId="1" pivotButton="0" quotePrefix="0" xfId="0"/>
    <xf numFmtId="0" fontId="3" fillId="4" borderId="0" applyAlignment="1" pivotButton="0" quotePrefix="0" xfId="0">
      <alignment horizontal="left" vertical="center" wrapText="1"/>
    </xf>
    <xf numFmtId="0" fontId="2" fillId="5" borderId="1" applyAlignment="1" pivotButton="0" quotePrefix="0" xfId="0">
      <alignment horizontal="center" vertical="center" wrapText="1"/>
    </xf>
    <xf numFmtId="0" fontId="4" fillId="0" borderId="2" applyAlignment="1" pivotButton="0" quotePrefix="0" xfId="0">
      <alignment horizontal="left" vertical="center" wrapText="1"/>
    </xf>
    <xf numFmtId="0" fontId="4" fillId="0" borderId="2" applyAlignment="1" pivotButton="0" quotePrefix="0" xfId="0">
      <alignment horizontal="right" vertical="center"/>
    </xf>
    <xf numFmtId="164" fontId="4" fillId="0" borderId="2" applyAlignment="1" pivotButton="0" quotePrefix="0" xfId="0">
      <alignment horizontal="right" vertical="center"/>
    </xf>
    <xf numFmtId="0" fontId="2" fillId="5" borderId="1" applyAlignment="1" pivotButton="0" quotePrefix="0" xfId="0">
      <alignment horizontal="right" vertical="center"/>
    </xf>
    <xf numFmtId="164" fontId="2" fillId="5" borderId="1" applyAlignment="1" pivotButton="0" quotePrefix="0" xfId="0">
      <alignment horizontal="right" vertical="center"/>
    </xf>
    <xf numFmtId="0" fontId="4" fillId="3" borderId="1" applyAlignment="1" pivotButton="0" quotePrefix="0" xfId="0">
      <alignment horizontal="right" vertical="center"/>
    </xf>
    <xf numFmtId="164" fontId="4" fillId="3" borderId="1" applyAlignment="1" pivotButton="0" quotePrefix="0" xfId="0">
      <alignment horizontal="right" vertical="center"/>
    </xf>
    <xf numFmtId="9" fontId="5" fillId="0" borderId="0" applyAlignment="1" pivotButton="0" quotePrefix="0" xfId="0">
      <alignment horizontal="left" vertical="center" wrapText="1"/>
    </xf>
    <xf numFmtId="0" fontId="6" fillId="2" borderId="3" applyAlignment="1" pivotButton="0" quotePrefix="0" xfId="0">
      <alignment horizontal="right" vertical="center"/>
    </xf>
    <xf numFmtId="164" fontId="6" fillId="2" borderId="3" applyAlignment="1" pivotButton="0" quotePrefix="0" xfId="0">
      <alignment horizontal="right" vertical="center"/>
    </xf>
    <xf numFmtId="0" fontId="7" fillId="0" borderId="2" applyAlignment="1" pivotButton="0" quotePrefix="0" xfId="0">
      <alignment horizontal="left" vertical="top" wrapText="1"/>
    </xf>
    <xf numFmtId="0" fontId="7" fillId="0" borderId="0" pivotButton="0" quotePrefix="0" xfId="0"/>
    <xf numFmtId="0" fontId="8" fillId="2" borderId="0" applyAlignment="1" pivotButton="0" quotePrefix="0" xfId="0">
      <alignment horizontal="left" vertical="center" wrapText="1"/>
    </xf>
    <xf numFmtId="0" fontId="9" fillId="3" borderId="0" applyAlignment="1" pivotButton="0" quotePrefix="0" xfId="0">
      <alignment horizontal="left" vertical="top" wrapText="1"/>
    </xf>
    <xf numFmtId="0" fontId="10"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50"/>
  <sheetViews>
    <sheetView workbookViewId="0">
      <selection activeCell="A1" sqref="A1"/>
    </sheetView>
  </sheetViews>
  <sheetFormatPr baseColWidth="8" defaultRowHeight="15"/>
  <cols>
    <col width="2" customWidth="1" min="1" max="1"/>
    <col width="28" customWidth="1" min="2" max="2"/>
    <col width="10" customWidth="1" min="3" max="3"/>
    <col width="10" customWidth="1" min="4" max="4"/>
    <col width="12" customWidth="1" min="5" max="5"/>
    <col width="12" customWidth="1" min="6" max="6"/>
    <col width="2" customWidth="1" min="7" max="7"/>
  </cols>
  <sheetData>
    <row r="1" ht="8" customHeight="1"/>
    <row r="2" ht="36" customHeight="1">
      <c r="B2" s="1" t="inlineStr">
        <is>
          <t>ROOFING JOB ESTIMATE</t>
        </is>
      </c>
    </row>
    <row r="3" ht="8" customHeight="1"/>
    <row r="4" ht="20" customHeight="1">
      <c r="B4" s="2" t="inlineStr">
        <is>
          <t>Company Name:</t>
        </is>
      </c>
      <c r="C4" s="3" t="n"/>
      <c r="D4" s="2" t="inlineStr">
        <is>
          <t>Client Name:</t>
        </is>
      </c>
      <c r="E4" s="3" t="n"/>
    </row>
    <row r="5" ht="20" customHeight="1">
      <c r="B5" s="2" t="inlineStr">
        <is>
          <t>Estimator:</t>
        </is>
      </c>
      <c r="C5" s="3" t="n"/>
      <c r="D5" s="2" t="inlineStr">
        <is>
          <t>Job Address:</t>
        </is>
      </c>
      <c r="E5" s="3" t="n"/>
    </row>
    <row r="6" ht="20" customHeight="1">
      <c r="B6" s="2" t="inlineStr">
        <is>
          <t>Date:</t>
        </is>
      </c>
      <c r="C6" s="3" t="n"/>
      <c r="D6" s="2" t="inlineStr">
        <is>
          <t>City, State, ZIP:</t>
        </is>
      </c>
      <c r="E6" s="3" t="n"/>
    </row>
    <row r="7" ht="20" customHeight="1">
      <c r="B7" s="2" t="inlineStr">
        <is>
          <t>Estimate #:</t>
        </is>
      </c>
      <c r="C7" s="3" t="n"/>
      <c r="D7" s="2" t="inlineStr">
        <is>
          <t>Phone:</t>
        </is>
      </c>
      <c r="E7" s="3" t="n"/>
    </row>
    <row r="8" ht="20" customHeight="1">
      <c r="B8" s="2" t="inlineStr">
        <is>
          <t>Valid Until:</t>
        </is>
      </c>
      <c r="C8" s="3" t="n"/>
      <c r="D8" s="2" t="inlineStr">
        <is>
          <t>Email:</t>
        </is>
      </c>
      <c r="E8" s="3" t="n"/>
    </row>
    <row r="9" ht="20" customHeight="1"/>
    <row r="10" ht="12" customHeight="1"/>
    <row r="11" ht="20" customHeight="1">
      <c r="B11" s="4" t="inlineStr">
        <is>
          <t xml:space="preserve">  MATERIALS</t>
        </is>
      </c>
    </row>
    <row r="12" ht="20" customHeight="1">
      <c r="B12" s="5" t="inlineStr">
        <is>
          <t>Description</t>
        </is>
      </c>
      <c r="C12" s="5" t="inlineStr">
        <is>
          <t>Qty</t>
        </is>
      </c>
      <c r="D12" s="5" t="inlineStr">
        <is>
          <t>Unit</t>
        </is>
      </c>
      <c r="E12" s="5" t="inlineStr">
        <is>
          <t>Unit Cost</t>
        </is>
      </c>
      <c r="F12" s="5" t="inlineStr">
        <is>
          <t>Total</t>
        </is>
      </c>
    </row>
    <row r="13" ht="18" customHeight="1">
      <c r="B13" s="6" t="inlineStr">
        <is>
          <t>Architectural Shingles (30yr)</t>
        </is>
      </c>
      <c r="C13" s="6" t="n"/>
      <c r="D13" s="7" t="inlineStr">
        <is>
          <t>square</t>
        </is>
      </c>
      <c r="E13" s="8" t="n"/>
      <c r="F13" s="8">
        <f>IF(AND(C13&lt;&gt;"",E13&lt;&gt;""),C13*E13,"")</f>
        <v/>
      </c>
    </row>
    <row r="14" ht="18" customHeight="1">
      <c r="B14" s="6" t="inlineStr">
        <is>
          <t>Ridge Cap Shingles</t>
        </is>
      </c>
      <c r="C14" s="6" t="n"/>
      <c r="D14" s="7" t="inlineStr">
        <is>
          <t>bundle</t>
        </is>
      </c>
      <c r="E14" s="8" t="n"/>
      <c r="F14" s="8">
        <f>IF(AND(C14&lt;&gt;"",E14&lt;&gt;""),C14*E14,"")</f>
        <v/>
      </c>
    </row>
    <row r="15" ht="18" customHeight="1">
      <c r="B15" s="6" t="inlineStr">
        <is>
          <t>Underlayment / Felt Paper</t>
        </is>
      </c>
      <c r="C15" s="6" t="n"/>
      <c r="D15" s="7" t="inlineStr">
        <is>
          <t>roll</t>
        </is>
      </c>
      <c r="E15" s="8" t="n"/>
      <c r="F15" s="8">
        <f>IF(AND(C15&lt;&gt;"",E15&lt;&gt;""),C15*E15,"")</f>
        <v/>
      </c>
    </row>
    <row r="16" ht="18" customHeight="1">
      <c r="B16" s="6" t="inlineStr">
        <is>
          <t>Ice &amp; Water Shield</t>
        </is>
      </c>
      <c r="C16" s="6" t="n"/>
      <c r="D16" s="7" t="inlineStr">
        <is>
          <t>roll</t>
        </is>
      </c>
      <c r="E16" s="8" t="n"/>
      <c r="F16" s="8">
        <f>IF(AND(C16&lt;&gt;"",E16&lt;&gt;""),C16*E16,"")</f>
        <v/>
      </c>
    </row>
    <row r="17" ht="18" customHeight="1">
      <c r="B17" s="6" t="inlineStr">
        <is>
          <t>Drip Edge</t>
        </is>
      </c>
      <c r="C17" s="6" t="n"/>
      <c r="D17" s="7" t="inlineStr">
        <is>
          <t>lin ft</t>
        </is>
      </c>
      <c r="E17" s="8" t="n"/>
      <c r="F17" s="8">
        <f>IF(AND(C17&lt;&gt;"",E17&lt;&gt;""),C17*E17,"")</f>
        <v/>
      </c>
    </row>
    <row r="18" ht="18" customHeight="1">
      <c r="B18" s="6" t="inlineStr">
        <is>
          <t>Roofing Nails</t>
        </is>
      </c>
      <c r="C18" s="6" t="n"/>
      <c r="D18" s="7" t="inlineStr">
        <is>
          <t>box</t>
        </is>
      </c>
      <c r="E18" s="8" t="n"/>
      <c r="F18" s="8">
        <f>IF(AND(C18&lt;&gt;"",E18&lt;&gt;""),C18*E18,"")</f>
        <v/>
      </c>
    </row>
    <row r="19" ht="18" customHeight="1">
      <c r="B19" s="6" t="inlineStr">
        <is>
          <t>Flashing (step/counter)</t>
        </is>
      </c>
      <c r="C19" s="6" t="n"/>
      <c r="D19" s="7" t="inlineStr">
        <is>
          <t>lin ft</t>
        </is>
      </c>
      <c r="E19" s="8" t="n"/>
      <c r="F19" s="8">
        <f>IF(AND(C19&lt;&gt;"",E19&lt;&gt;""),C19*E19,"")</f>
        <v/>
      </c>
    </row>
    <row r="20" ht="18" customHeight="1">
      <c r="B20" s="6" t="inlineStr">
        <is>
          <t>Pipe Boots / Collars</t>
        </is>
      </c>
      <c r="C20" s="6" t="n"/>
      <c r="D20" s="7" t="inlineStr">
        <is>
          <t>each</t>
        </is>
      </c>
      <c r="E20" s="8" t="n"/>
      <c r="F20" s="8">
        <f>IF(AND(C20&lt;&gt;"",E20&lt;&gt;""),C20*E20,"")</f>
        <v/>
      </c>
    </row>
    <row r="21" ht="18" customHeight="1">
      <c r="B21" s="6" t="inlineStr">
        <is>
          <t>Roofing Caulk / Sealant</t>
        </is>
      </c>
      <c r="C21" s="6" t="n"/>
      <c r="D21" s="7" t="inlineStr">
        <is>
          <t>tube</t>
        </is>
      </c>
      <c r="E21" s="8" t="n"/>
      <c r="F21" s="8">
        <f>IF(AND(C21&lt;&gt;"",E21&lt;&gt;""),C21*E21,"")</f>
        <v/>
      </c>
    </row>
    <row r="22" ht="20" customHeight="1">
      <c r="B22" s="9" t="inlineStr">
        <is>
          <t>MATERIALS SUBTOTAL</t>
        </is>
      </c>
      <c r="F22" s="10">
        <f>SUM(F13:F21)</f>
        <v/>
      </c>
    </row>
    <row r="23" ht="10" customHeight="1"/>
    <row r="24" ht="20" customHeight="1">
      <c r="B24" s="4" t="inlineStr">
        <is>
          <t xml:space="preserve">  LABOR</t>
        </is>
      </c>
    </row>
    <row r="25" ht="20" customHeight="1">
      <c r="B25" s="5" t="inlineStr">
        <is>
          <t>Description</t>
        </is>
      </c>
      <c r="C25" s="5" t="inlineStr">
        <is>
          <t>Hours</t>
        </is>
      </c>
      <c r="D25" s="5" t="inlineStr">
        <is>
          <t>Workers</t>
        </is>
      </c>
      <c r="E25" s="5" t="inlineStr">
        <is>
          <t>Rate/Hr</t>
        </is>
      </c>
      <c r="F25" s="5" t="inlineStr">
        <is>
          <t>Total</t>
        </is>
      </c>
    </row>
    <row r="26" ht="18" customHeight="1">
      <c r="B26" s="6" t="inlineStr">
        <is>
          <t>Tear-off &amp; Disposal</t>
        </is>
      </c>
      <c r="C26" s="6" t="n"/>
      <c r="D26" s="7" t="n"/>
      <c r="E26" s="8" t="n"/>
      <c r="F26" s="8">
        <f>IF(AND(C26&lt;&gt;"",D26&lt;&gt;"",E26&lt;&gt;""),C26*D26*E26,"")</f>
        <v/>
      </c>
    </row>
    <row r="27" ht="18" customHeight="1">
      <c r="B27" s="6" t="inlineStr">
        <is>
          <t>Install Underlayment &amp; Ice Shield</t>
        </is>
      </c>
      <c r="C27" s="6" t="n"/>
      <c r="D27" s="7" t="n"/>
      <c r="E27" s="8" t="n"/>
      <c r="F27" s="8">
        <f>IF(AND(C27&lt;&gt;"",D27&lt;&gt;"",E27&lt;&gt;""),C27*D27*E27,"")</f>
        <v/>
      </c>
    </row>
    <row r="28" ht="18" customHeight="1">
      <c r="B28" s="6" t="inlineStr">
        <is>
          <t>Install Shingles</t>
        </is>
      </c>
      <c r="C28" s="6" t="n"/>
      <c r="D28" s="7" t="n"/>
      <c r="E28" s="8" t="n"/>
      <c r="F28" s="8">
        <f>IF(AND(C28&lt;&gt;"",D28&lt;&gt;"",E28&lt;&gt;""),C28*D28*E28,"")</f>
        <v/>
      </c>
    </row>
    <row r="29" ht="18" customHeight="1">
      <c r="B29" s="6" t="inlineStr">
        <is>
          <t>Install Flashing &amp; Vents</t>
        </is>
      </c>
      <c r="C29" s="6" t="n"/>
      <c r="D29" s="7" t="n"/>
      <c r="E29" s="8" t="n"/>
      <c r="F29" s="8">
        <f>IF(AND(C29&lt;&gt;"",D29&lt;&gt;"",E29&lt;&gt;""),C29*D29*E29,"")</f>
        <v/>
      </c>
    </row>
    <row r="30" ht="18" customHeight="1">
      <c r="B30" s="6" t="inlineStr">
        <is>
          <t>Clean Up &amp; Haul Away</t>
        </is>
      </c>
      <c r="C30" s="6" t="n"/>
      <c r="D30" s="7" t="n"/>
      <c r="E30" s="8" t="n"/>
      <c r="F30" s="8">
        <f>IF(AND(C30&lt;&gt;"",D30&lt;&gt;"",E30&lt;&gt;""),C30*D30*E30,"")</f>
        <v/>
      </c>
    </row>
    <row r="31" ht="18" customHeight="1">
      <c r="B31" s="6" t="inlineStr">
        <is>
          <t>Misc / Overtime</t>
        </is>
      </c>
      <c r="C31" s="6" t="n"/>
      <c r="D31" s="7" t="n"/>
      <c r="E31" s="8" t="n"/>
      <c r="F31" s="8">
        <f>IF(AND(C31&lt;&gt;"",D31&lt;&gt;"",E31&lt;&gt;""),C31*D31*E31,"")</f>
        <v/>
      </c>
    </row>
    <row r="32" ht="20" customHeight="1">
      <c r="B32" s="9" t="inlineStr">
        <is>
          <t>LABOR SUBTOTAL</t>
        </is>
      </c>
      <c r="F32" s="10">
        <f>SUM(F26:F31)</f>
        <v/>
      </c>
    </row>
    <row r="33" ht="10" customHeight="1"/>
    <row r="34" ht="20" customHeight="1">
      <c r="B34" s="4" t="inlineStr">
        <is>
          <t xml:space="preserve">  ESTIMATE SUMMARY</t>
        </is>
      </c>
    </row>
    <row r="35" ht="20" customHeight="1">
      <c r="B35" s="11" t="inlineStr">
        <is>
          <t>Materials Subtotal</t>
        </is>
      </c>
      <c r="F35" s="12">
        <f>F22</f>
        <v/>
      </c>
    </row>
    <row r="36" ht="20" customHeight="1">
      <c r="B36" s="11" t="inlineStr">
        <is>
          <t>Labor Subtotal</t>
        </is>
      </c>
      <c r="F36" s="12">
        <f>F32</f>
        <v/>
      </c>
    </row>
    <row r="37" ht="20" customHeight="1">
      <c r="B37" s="11" t="inlineStr">
        <is>
          <t>Equipment / Dumpster</t>
        </is>
      </c>
      <c r="F37" s="12" t="n"/>
    </row>
    <row r="38" ht="20" customHeight="1">
      <c r="B38" s="11" t="inlineStr">
        <is>
          <t>Permits &amp; Inspections</t>
        </is>
      </c>
      <c r="F38" s="12" t="n"/>
    </row>
    <row r="39" ht="20" customHeight="1">
      <c r="B39" s="9" t="inlineStr">
        <is>
          <t>Subtotal</t>
        </is>
      </c>
      <c r="F39" s="10">
        <f>SUM(F35:F38)</f>
        <v/>
      </c>
    </row>
    <row r="40" ht="20" customHeight="1">
      <c r="B40" s="11" t="inlineStr">
        <is>
          <t>Overhead &amp; Profit (%)</t>
        </is>
      </c>
      <c r="F40" s="12">
        <f>IF(F39&lt;&gt;"",F39*G40,"")</f>
        <v/>
      </c>
      <c r="G40" s="13" t="n">
        <v>0.15</v>
      </c>
    </row>
    <row r="41" ht="20" customHeight="1">
      <c r="B41" s="11" t="inlineStr">
        <is>
          <t>Tax (if applicable)</t>
        </is>
      </c>
      <c r="F41" s="12" t="n"/>
    </row>
    <row r="42" ht="26" customHeight="1">
      <c r="B42" s="14" t="inlineStr">
        <is>
          <t>TOTAL ESTIMATE</t>
        </is>
      </c>
      <c r="F42" s="15">
        <f>SUM(F39:F41)</f>
        <v/>
      </c>
    </row>
    <row r="44" ht="20" customHeight="1">
      <c r="B44" s="4" t="inlineStr">
        <is>
          <t xml:space="preserve">  NOTES &amp; TERMS</t>
        </is>
      </c>
    </row>
    <row r="45">
      <c r="B45" s="16" t="inlineStr">
        <is>
          <t>1. This estimate is valid for 30 days from the date above.
2. Payment terms: 50% deposit upon acceptance, balance due upon completion.
3. Any work discovered beyond the original scope will be quoted separately.
4. All work performed in accordance with local building codes and manufacturer specs.</t>
        </is>
      </c>
    </row>
    <row r="46"/>
    <row r="47"/>
    <row r="48"/>
    <row r="50" ht="18" customHeight="1">
      <c r="B50" s="17" t="inlineStr">
        <is>
          <t>Customer Signature: _______________________</t>
        </is>
      </c>
      <c r="E50" s="17" t="inlineStr">
        <is>
          <t>Date: ____________________</t>
        </is>
      </c>
    </row>
  </sheetData>
  <mergeCells count="18">
    <mergeCell ref="B44:F44"/>
    <mergeCell ref="E50:F50"/>
    <mergeCell ref="B36:E36"/>
    <mergeCell ref="B40:E40"/>
    <mergeCell ref="B41:E41"/>
    <mergeCell ref="B35:E35"/>
    <mergeCell ref="B24:F24"/>
    <mergeCell ref="B2:F2"/>
    <mergeCell ref="B34:F34"/>
    <mergeCell ref="B11:F11"/>
    <mergeCell ref="B45:F48"/>
    <mergeCell ref="B38:E38"/>
    <mergeCell ref="B39:E39"/>
    <mergeCell ref="B50:C50"/>
    <mergeCell ref="B37:E37"/>
    <mergeCell ref="B42:E42"/>
    <mergeCell ref="B22:E22"/>
    <mergeCell ref="B32:E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13"/>
  <sheetViews>
    <sheetView workbookViewId="0">
      <selection activeCell="A1" sqref="A1"/>
    </sheetView>
  </sheetViews>
  <sheetFormatPr baseColWidth="8" defaultRowHeight="15"/>
  <cols>
    <col width="2" customWidth="1" min="1" max="1"/>
    <col width="60" customWidth="1" min="2" max="2"/>
  </cols>
  <sheetData>
    <row r="2" ht="36" customHeight="1">
      <c r="B2" s="18" t="inlineStr">
        <is>
          <t>HOW TO USE THIS ESTIMATE TEMPLATE</t>
        </is>
      </c>
    </row>
    <row r="4" ht="14" customHeight="1"/>
    <row r="5" ht="40" customHeight="1">
      <c r="B5" s="19" t="inlineStr">
        <is>
          <t>STEP 1 — Fill in company &amp; client info
Enter your company name, estimator, and the client's details in the top section.</t>
        </is>
      </c>
    </row>
    <row r="6" ht="40" customHeight="1">
      <c r="B6" s="19" t="inlineStr">
        <is>
          <t>STEP 2 — Enter materials
For each material row: enter Description, Quantity, Unit, and Unit Cost. The Total column calculates automatically.</t>
        </is>
      </c>
    </row>
    <row r="7" ht="40" customHeight="1">
      <c r="B7" s="19" t="inlineStr">
        <is>
          <t>STEP 3 — Enter labor
For each labor row: enter Hours, number of Workers, and Hourly Rate. Total calculates automatically.</t>
        </is>
      </c>
    </row>
    <row r="8" ht="40" customHeight="1">
      <c r="B8" s="19" t="inlineStr">
        <is>
          <t>STEP 4 — Add other costs
Enter Equipment/Dumpster, Permits &amp; Inspection costs in the Summary section.</t>
        </is>
      </c>
    </row>
    <row r="9" ht="40" customHeight="1">
      <c r="B9" s="19" t="inlineStr">
        <is>
          <t>STEP 5 — Set your margin
The Overhead &amp; Profit row uses the percentage in column G (default 15%). Change it to match your business.</t>
        </is>
      </c>
    </row>
    <row r="10" ht="40" customHeight="1">
      <c r="B10" s="19" t="inlineStr">
        <is>
          <t>STEP 6 — Add tax if needed
Enter applicable sales tax on materials in row 41.</t>
        </is>
      </c>
    </row>
    <row r="11" ht="40" customHeight="1">
      <c r="B11" s="19" t="inlineStr">
        <is>
          <t>STEP 7 — Review &amp; print
Review the TOTAL ESTIMATE at the bottom. Print or save as PDF to send to your client.</t>
        </is>
      </c>
    </row>
    <row r="12" ht="14" customHeight="1"/>
    <row r="13" ht="40" customHeight="1">
      <c r="B13" s="20" t="inlineStr">
        <is>
          <t>TIP
Save a blank copy as your master template. Duplicate it for each new job and rename the file.</t>
        </is>
      </c>
    </row>
  </sheetData>
  <mergeCells count="1">
    <mergeCell ref="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2026-05-19T02:34:27Z</dcterms:created>
  <dcterms:modified xmlns:dcterms="http://purl.org/dc/terms/" xmlns:xsi="http://www.w3.org/2001/XMLSchema-instance" xsi:type="dcterms:W3CDTF">2026-05-19T02:34:27Z</dcterms:modified>
</cp:coreProperties>
</file>